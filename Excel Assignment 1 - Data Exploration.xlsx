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D:\DAA67\Assignments\"/>
    </mc:Choice>
  </mc:AlternateContent>
  <xr:revisionPtr revIDLastSave="0" documentId="13_ncr:1_{A738F8B3-8420-4D9E-95B3-A4DB2ADAB9D1}" xr6:coauthVersionLast="45" xr6:coauthVersionMax="45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Dataset!$F$2:$F$35</definedName>
    <definedName name="_xlnm.Extract" localSheetId="1">Dataset!#REF!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L8" i="2" l="1"/>
  <c r="L15" i="2"/>
  <c r="L14" i="2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25" i="2"/>
  <c r="I26" i="2"/>
  <c r="I27" i="2"/>
  <c r="I28" i="2"/>
  <c r="I29" i="2"/>
  <c r="I30" i="2"/>
  <c r="I31" i="2"/>
  <c r="I32" i="2"/>
  <c r="I33" i="2"/>
  <c r="I34" i="2"/>
  <c r="I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" i="2"/>
  <c r="H2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" i="2"/>
  <c r="H4" i="2"/>
  <c r="H5" i="2"/>
  <c r="H6" i="2"/>
  <c r="H7" i="2"/>
  <c r="H8" i="2"/>
  <c r="H9" i="2"/>
  <c r="G25" i="2"/>
  <c r="G26" i="2"/>
  <c r="G27" i="2"/>
  <c r="G28" i="2"/>
  <c r="G29" i="2"/>
  <c r="G30" i="2"/>
  <c r="G31" i="2"/>
  <c r="G32" i="2"/>
  <c r="G33" i="2"/>
  <c r="G34" i="2"/>
  <c r="G3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L12" i="2"/>
  <c r="L11" i="2"/>
  <c r="L7" i="2"/>
  <c r="L6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<sst xmlns="http://schemas.openxmlformats.org/spreadsheetml/2006/main" count="170" uniqueCount="121">
  <si>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</si>
  <si>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</si>
  <si>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</si>
  <si>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</si>
  <si>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</si>
  <si>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</si>
  <si>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</si>
  <si>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</si>
  <si>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</si>
  <si>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</si>
  <si>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</si>
  <si>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</si>
  <si>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</si>
  <si>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</si>
  <si>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</si>
  <si>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</si>
  <si>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</si>
  <si>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</si>
  <si>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</si>
  <si>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</si>
  <si>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</si>
  <si>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</si>
  <si>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</si>
  <si>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</si>
  <si>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</si>
  <si>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</si>
  <si>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</si>
  <si>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</si>
  <si>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</si>
  <si>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</si>
  <si>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</si>
  <si>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</si>
  <si>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</si>
  <si>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</si>
  <si>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</si>
  <si>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</si>
  <si>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</si>
  <si>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</si>
  <si>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</si>
  <si>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</si>
  <si>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</si>
  <si>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</si>
  <si>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</si>
  <si>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</si>
  <si>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</si>
  <si>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</si>
  <si>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</si>
  <si>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</si>
  <si>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</si>
  <si>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</si>
  <si>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</si>
  <si>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</si>
  <si>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</si>
  <si>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</si>
  <si>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</si>
  <si>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</si>
  <si>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</si>
  <si>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</si>
  <si>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</si>
  <si>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</si>
  <si>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</si>
  <si>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</si>
  <si>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</si>
  <si>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</si>
  <si>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</si>
  <si>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</si>
  <si>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</si>
  <si>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</si>
  <si>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</si>
  <si>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</si>
  <si>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</si>
  <si>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</si>
  <si>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</si>
  <si>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</si>
  <si>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</si>
  <si>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</si>
  <si>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</si>
  <si>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</si>
  <si>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</si>
  <si>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</si>
  <si>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</si>
  <si>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</si>
  <si>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</si>
  <si>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</si>
  <si>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</si>
  <si>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</si>
  <si>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</si>
  <si>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</si>
  <si>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</si>
  <si>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</si>
  <si>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</si>
  <si>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</si>
  <si>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</si>
  <si>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</si>
  <si>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</si>
  <si>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</si>
  <si>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</si>
  <si>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</si>
  <si>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</si>
  <si>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</si>
  <si>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</si>
  <si>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</si>
  <si>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</si>
  <si>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</si>
  <si>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</si>
  <si>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</si>
  <si>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</si>
  <si>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</si>
  <si>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</si>
  <si>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</si>
  <si>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</si>
  <si>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</si>
  <si>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</si>
  <si>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Minimum</t>
  </si>
  <si>
    <t>Maximum</t>
  </si>
  <si>
    <t>Price Range</t>
  </si>
  <si>
    <t>Day</t>
  </si>
  <si>
    <t>Country Code</t>
  </si>
  <si>
    <t>Month</t>
  </si>
  <si>
    <t>Count&lt;100</t>
  </si>
  <si>
    <t>Total Price for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</si>
</sst>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164" fontId="0" fillId="0" borderId="0" xfId="0" applyNumberFormat="1" applyFont="1" applyAlignment="1"/>
    <xf numFmtId="0" fontId="8" fillId="0" borderId="0" xfId="0" applyFont="1" applyAlignment="1"/>
    <xf numFmtId="0" fontId="9" fillId="0" borderId="0" xfId="0" applyFont="1" applyAlignment="1">
      <alignment horizontal="center"/>
    </xf>
    <xf numFmtId="0" fontId="7" fillId="0" borderId="0" xfId="0" applyFont="1" applyAlignment="1"/>
    <xf numFmtId="0" fontId="9" fillId="2" borderId="0" xfId="0" applyFont="1" applyFill="1" applyAlignment="1">
      <alignment horizontal="center"/>
    </xf>
    <xf numFmtId="0" fontId="10" fillId="0" borderId="0" xfId="0" applyFont="1" applyAlignment="1"/>
    <xf numFmtId="0" fontId="6" fillId="0" borderId="0" xfId="0" applyFont="1" applyFill="1"/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3" ht="15.75" customHeight="1" x14ac:dyDescent="0.3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5">
      <c r="B4" s="2"/>
      <c r="C4" s="3" t="s">
        <v>2</v>
      </c>
    </row>
    <row r="5" spans="1:3" ht="15.75" customHeight="1" x14ac:dyDescent="0.35">
      <c r="B5" s="2"/>
      <c r="C5" s="3" t="s">
        <v>3</v>
      </c>
    </row>
    <row r="6" spans="1:3" ht="15.75" customHeight="1" x14ac:dyDescent="0.35">
      <c r="B6" s="2"/>
      <c r="C6" s="3" t="s">
        <v>4</v>
      </c>
    </row>
    <row r="7" spans="1:3" ht="15.75" customHeight="1" x14ac:dyDescent="0.35">
      <c r="B7" s="4"/>
    </row>
    <row r="8" spans="1:3" ht="15.75" customHeight="1" x14ac:dyDescent="0.3">
      <c r="B8" s="2" t="s">
        <v>5</v>
      </c>
    </row>
    <row r="9" spans="1:3" ht="15.75" customHeight="1" x14ac:dyDescent="0.35">
      <c r="C9" s="3" t="s">
        <v>6</v>
      </c>
    </row>
    <row r="10" spans="1:3" ht="15.75" customHeight="1" x14ac:dyDescent="0.35">
      <c r="C10" s="3" t="s">
        <v>7</v>
      </c>
    </row>
    <row r="11" spans="1:3" ht="15.75" customHeight="1" x14ac:dyDescent="0.35">
      <c r="B11" s="4"/>
    </row>
    <row r="12" spans="1:3" ht="15.75" customHeight="1" x14ac:dyDescent="0.3">
      <c r="B12" s="2" t="s">
        <v>8</v>
      </c>
    </row>
    <row r="13" spans="1:3" ht="15.75" customHeight="1" x14ac:dyDescent="0.35">
      <c r="C13" s="3" t="s">
        <v>9</v>
      </c>
    </row>
    <row r="14" spans="1:3" ht="15.75" customHeight="1" x14ac:dyDescent="0.35">
      <c r="B14" s="4"/>
    </row>
    <row r="15" spans="1:3" ht="15.75" customHeight="1" x14ac:dyDescent="0.3">
      <c r="B15" s="2" t="s">
        <v>10</v>
      </c>
    </row>
    <row r="16" spans="1:3" ht="15.75" customHeight="1" x14ac:dyDescent="0.35">
      <c r="C16" s="3" t="s">
        <v>11</v>
      </c>
    </row>
    <row r="17" spans="2:3" ht="15.75" customHeight="1" x14ac:dyDescent="0.35">
      <c r="C17" s="3" t="s">
        <v>12</v>
      </c>
    </row>
    <row r="18" spans="2:3" ht="15.75" customHeight="1" x14ac:dyDescent="0.35">
      <c r="B18" s="4"/>
    </row>
    <row r="19" spans="2:3" ht="15.75" customHeight="1" x14ac:dyDescent="0.3">
      <c r="B19" s="2" t="s">
        <v>13</v>
      </c>
    </row>
    <row r="20" spans="2:3" ht="15.75" customHeight="1" x14ac:dyDescent="0.35">
      <c r="C20" s="3" t="s">
        <v>14</v>
      </c>
    </row>
    <row r="21" spans="2:3" ht="15.75" customHeight="1" x14ac:dyDescent="0.35">
      <c r="C21" s="3" t="s">
        <v>15</v>
      </c>
    </row>
    <row r="22" spans="2:3" ht="15.75" customHeight="1" x14ac:dyDescent="0.35">
      <c r="C22" s="3" t="s">
        <v>16</v>
      </c>
    </row>
    <row r="23" spans="2:3" ht="15.75" customHeight="1" x14ac:dyDescent="0.35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L11" sqref="L11"/>
    </sheetView>
  </sheetViews>
  <sheetFormatPr defaultColWidth="12.6328125" defaultRowHeight="15" customHeight="1" x14ac:dyDescent="0.25"/>
  <cols>
    <col min="1" max="1" width="12.6328125" customWidth="1"/>
    <col min="2" max="2" width="14.08984375" customWidth="1"/>
    <col min="3" max="6" width="12.6328125" customWidth="1"/>
    <col min="8" max="8" width="12.6328125" style="17"/>
    <col min="11" max="11" width="23" customWidth="1"/>
    <col min="14" max="14" width="20.81640625" customWidth="1"/>
  </cols>
  <sheetData>
    <row r="1" spans="1:12" ht="15.75" customHeigh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115</v>
      </c>
      <c r="H1" s="11" t="s">
        <v>116</v>
      </c>
      <c r="I1" s="13" t="s">
        <v>117</v>
      </c>
      <c r="J1" s="13" t="s">
        <v>118</v>
      </c>
    </row>
    <row r="2" spans="1:12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7" t="str">
        <f>IF(D2&gt;=500,"High Price","Standard Price")</f>
        <v>High Price</v>
      </c>
      <c r="H2" s="16" t="str">
        <f>LEFT(A:A,2)</f>
        <v>28</v>
      </c>
      <c r="I2" t="str">
        <f>RIGHT(A:A,2)</f>
        <v>US</v>
      </c>
      <c r="J2" t="str">
        <f>MID(A:A,4,3)</f>
        <v>JAN</v>
      </c>
    </row>
    <row r="3" spans="1:12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6" si="0">IF(D3&gt;=500,"High Price","Standard Price")</f>
        <v>Standard Price</v>
      </c>
      <c r="H3" s="16" t="str">
        <f t="shared" ref="H3:H35" si="1">LEFT(A:A,2)</f>
        <v>15</v>
      </c>
      <c r="I3" t="str">
        <f t="shared" ref="I3:I35" si="2">RIGHT(A:A,2)</f>
        <v>US</v>
      </c>
      <c r="J3" t="str">
        <f t="shared" ref="J3:J35" si="3">MID(A:A,4,3)</f>
        <v>FEB</v>
      </c>
    </row>
    <row r="4" spans="1:12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7" t="str">
        <f t="shared" si="0"/>
        <v>Standard Price</v>
      </c>
      <c r="H4" s="16" t="str">
        <f t="shared" si="1"/>
        <v>03</v>
      </c>
      <c r="I4" t="str">
        <f t="shared" si="2"/>
        <v>US</v>
      </c>
      <c r="J4" t="str">
        <f t="shared" si="3"/>
        <v>MAR</v>
      </c>
    </row>
    <row r="5" spans="1:12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  <c r="H5" s="16" t="str">
        <f t="shared" si="1"/>
        <v>11</v>
      </c>
      <c r="I5" t="str">
        <f t="shared" si="2"/>
        <v>US</v>
      </c>
      <c r="J5" t="str">
        <f t="shared" si="3"/>
        <v>APR</v>
      </c>
    </row>
    <row r="6" spans="1:12" ht="15.75" customHeight="1" x14ac:dyDescent="0.3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7" t="str">
        <f t="shared" si="0"/>
        <v>Standard Price</v>
      </c>
      <c r="H6" s="16" t="str">
        <f t="shared" si="1"/>
        <v>22</v>
      </c>
      <c r="I6" t="str">
        <f t="shared" si="2"/>
        <v>US</v>
      </c>
      <c r="J6" t="str">
        <f t="shared" si="3"/>
        <v>MAY</v>
      </c>
      <c r="K6" s="14" t="s">
        <v>110</v>
      </c>
      <c r="L6" s="9">
        <f>SUM(D:D)</f>
        <v>10100</v>
      </c>
    </row>
    <row r="7" spans="1:12" ht="15.75" customHeight="1" x14ac:dyDescent="0.3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  <c r="H7" s="16" t="str">
        <f t="shared" si="1"/>
        <v>07</v>
      </c>
      <c r="I7" t="str">
        <f t="shared" si="2"/>
        <v>UK</v>
      </c>
      <c r="J7" t="str">
        <f t="shared" si="3"/>
        <v>JUN</v>
      </c>
      <c r="K7" s="14" t="s">
        <v>111</v>
      </c>
      <c r="L7">
        <f>COUNT(E:E)</f>
        <v>34</v>
      </c>
    </row>
    <row r="8" spans="1:12" ht="15.75" customHeight="1" x14ac:dyDescent="0.3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7" t="str">
        <f t="shared" si="0"/>
        <v>Standard Price</v>
      </c>
      <c r="H8" s="16" t="str">
        <f t="shared" si="1"/>
        <v>19</v>
      </c>
      <c r="I8" t="str">
        <f t="shared" si="2"/>
        <v>UK</v>
      </c>
      <c r="J8" t="str">
        <f t="shared" si="3"/>
        <v>JUL</v>
      </c>
      <c r="K8" s="14" t="s">
        <v>112</v>
      </c>
      <c r="L8" s="9">
        <f>AVERAGE(D:D)</f>
        <v>297.05882352941177</v>
      </c>
    </row>
    <row r="9" spans="1:12" ht="15.75" customHeight="1" x14ac:dyDescent="0.3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  <c r="H9" s="16" t="str">
        <f t="shared" si="1"/>
        <v>23</v>
      </c>
      <c r="I9" t="str">
        <f t="shared" si="2"/>
        <v>UK</v>
      </c>
      <c r="J9" t="str">
        <f t="shared" si="3"/>
        <v>AUG</v>
      </c>
      <c r="K9" s="14"/>
    </row>
    <row r="10" spans="1:12" ht="15.75" customHeight="1" x14ac:dyDescent="0.3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7" t="str">
        <f t="shared" si="0"/>
        <v>High Price</v>
      </c>
      <c r="H10" s="16" t="str">
        <f t="shared" si="1"/>
        <v>05</v>
      </c>
      <c r="I10" t="str">
        <f t="shared" si="2"/>
        <v>UK</v>
      </c>
      <c r="J10" t="str">
        <f t="shared" si="3"/>
        <v>SEP</v>
      </c>
      <c r="K10" s="14"/>
    </row>
    <row r="11" spans="1:12" ht="15.75" customHeight="1" x14ac:dyDescent="0.3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  <c r="H11" s="16" t="str">
        <f t="shared" si="1"/>
        <v>14</v>
      </c>
      <c r="I11" t="str">
        <f t="shared" si="2"/>
        <v>UK</v>
      </c>
      <c r="J11" t="str">
        <f t="shared" si="3"/>
        <v>OCT</v>
      </c>
      <c r="K11" s="14" t="s">
        <v>113</v>
      </c>
      <c r="L11" s="9">
        <f>MIN(D:D)</f>
        <v>30</v>
      </c>
    </row>
    <row r="12" spans="1:12" ht="15.75" customHeight="1" x14ac:dyDescent="0.3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7" t="str">
        <f t="shared" si="0"/>
        <v>High Price</v>
      </c>
      <c r="H12" s="16" t="str">
        <f t="shared" si="1"/>
        <v>17</v>
      </c>
      <c r="I12" t="str">
        <f t="shared" si="2"/>
        <v>IN</v>
      </c>
      <c r="J12" t="str">
        <f t="shared" si="3"/>
        <v>JUN</v>
      </c>
      <c r="K12" s="14" t="s">
        <v>114</v>
      </c>
      <c r="L12" s="9">
        <f>MAX(D:D)</f>
        <v>1000</v>
      </c>
    </row>
    <row r="13" spans="1:12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  <c r="H13" s="16" t="str">
        <f t="shared" si="1"/>
        <v>25</v>
      </c>
      <c r="I13" t="str">
        <f t="shared" si="2"/>
        <v>AU</v>
      </c>
      <c r="J13" t="str">
        <f t="shared" si="3"/>
        <v>NOV</v>
      </c>
    </row>
    <row r="14" spans="1:12" ht="15.75" customHeight="1" x14ac:dyDescent="0.3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7" t="str">
        <f t="shared" si="0"/>
        <v>Standard Price</v>
      </c>
      <c r="H14" s="16" t="str">
        <f t="shared" si="1"/>
        <v>08</v>
      </c>
      <c r="I14" t="str">
        <f t="shared" si="2"/>
        <v>DE</v>
      </c>
      <c r="J14" t="str">
        <f t="shared" si="3"/>
        <v>DEC</v>
      </c>
      <c r="K14" s="14" t="s">
        <v>119</v>
      </c>
      <c r="L14">
        <f>COUNTIF(D2:D35,"&lt;100")</f>
        <v>11</v>
      </c>
    </row>
    <row r="15" spans="1:12" ht="15.75" customHeight="1" x14ac:dyDescent="0.3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  <c r="H15" s="16" t="str">
        <f t="shared" si="1"/>
        <v>18</v>
      </c>
      <c r="I15" t="str">
        <f t="shared" si="2"/>
        <v>CA</v>
      </c>
      <c r="J15" t="str">
        <f t="shared" si="3"/>
        <v>FEB</v>
      </c>
      <c r="K15" s="14" t="s">
        <v>120</v>
      </c>
      <c r="L15" s="9">
        <f>SUMIF(F2:F35,"Electronics",D2:D35)</f>
        <v>8050</v>
      </c>
    </row>
    <row r="16" spans="1:12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7" t="str">
        <f t="shared" si="0"/>
        <v>Standard Price</v>
      </c>
      <c r="H16" s="16" t="str">
        <f t="shared" si="1"/>
        <v>16</v>
      </c>
      <c r="I16" t="str">
        <f t="shared" si="2"/>
        <v>ES</v>
      </c>
      <c r="J16" t="str">
        <f t="shared" si="3"/>
        <v>APR</v>
      </c>
      <c r="K16" s="15"/>
    </row>
    <row r="17" spans="1:11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  <c r="H17" s="16" t="str">
        <f t="shared" si="1"/>
        <v>21</v>
      </c>
      <c r="I17" t="str">
        <f t="shared" si="2"/>
        <v>CA</v>
      </c>
      <c r="J17" t="str">
        <f t="shared" si="3"/>
        <v>AUG</v>
      </c>
      <c r="K17" s="7"/>
    </row>
    <row r="18" spans="1:11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7" t="str">
        <f t="shared" si="0"/>
        <v>Standard Price</v>
      </c>
      <c r="H18" s="16" t="str">
        <f t="shared" si="1"/>
        <v>20</v>
      </c>
      <c r="I18" t="str">
        <f t="shared" si="2"/>
        <v>CN</v>
      </c>
      <c r="J18" t="str">
        <f t="shared" si="3"/>
        <v>AUG</v>
      </c>
      <c r="K18" s="15"/>
    </row>
    <row r="19" spans="1:11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  <c r="H19" s="16" t="str">
        <f t="shared" si="1"/>
        <v>27</v>
      </c>
      <c r="I19" t="str">
        <f t="shared" si="2"/>
        <v>IT</v>
      </c>
      <c r="J19" t="str">
        <f t="shared" si="3"/>
        <v>JAN</v>
      </c>
      <c r="K19" s="15"/>
    </row>
    <row r="20" spans="1:11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7" t="str">
        <f t="shared" si="0"/>
        <v>Standard Price</v>
      </c>
      <c r="H20" s="16" t="str">
        <f t="shared" si="1"/>
        <v>01</v>
      </c>
      <c r="I20" t="str">
        <f t="shared" si="2"/>
        <v>UK</v>
      </c>
      <c r="J20" t="str">
        <f t="shared" si="3"/>
        <v>MAR</v>
      </c>
      <c r="K20" s="15"/>
    </row>
    <row r="21" spans="1:11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  <c r="H21" s="16" t="str">
        <f t="shared" si="1"/>
        <v>14</v>
      </c>
      <c r="I21" t="str">
        <f t="shared" si="2"/>
        <v>US</v>
      </c>
      <c r="J21" t="str">
        <f t="shared" si="3"/>
        <v>AUG</v>
      </c>
      <c r="K21" s="15"/>
    </row>
    <row r="22" spans="1:11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7" t="str">
        <f t="shared" si="0"/>
        <v>High Price</v>
      </c>
      <c r="H22" s="16" t="str">
        <f t="shared" si="1"/>
        <v>14</v>
      </c>
      <c r="I22" t="str">
        <f t="shared" si="2"/>
        <v>RU</v>
      </c>
      <c r="J22" t="str">
        <f t="shared" si="3"/>
        <v>MAY</v>
      </c>
      <c r="K22" s="15"/>
    </row>
    <row r="23" spans="1:11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  <c r="H23" s="16" t="str">
        <f t="shared" si="1"/>
        <v>09</v>
      </c>
      <c r="I23" t="str">
        <f t="shared" si="2"/>
        <v>CA</v>
      </c>
      <c r="J23" t="str">
        <f t="shared" si="3"/>
        <v>JAN</v>
      </c>
      <c r="K23" s="15"/>
    </row>
    <row r="24" spans="1:11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7" t="str">
        <f t="shared" si="0"/>
        <v>Standard Price</v>
      </c>
      <c r="H24" s="16" t="str">
        <f t="shared" si="1"/>
        <v>19</v>
      </c>
      <c r="I24" t="str">
        <f t="shared" si="2"/>
        <v>BR</v>
      </c>
      <c r="J24" t="str">
        <f t="shared" si="3"/>
        <v>JUL</v>
      </c>
      <c r="K24" s="15"/>
    </row>
    <row r="25" spans="1:11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  <c r="H25" s="16" t="str">
        <f t="shared" si="1"/>
        <v>21</v>
      </c>
      <c r="I25" t="str">
        <f t="shared" si="2"/>
        <v>CA</v>
      </c>
      <c r="J25" t="str">
        <f t="shared" si="3"/>
        <v>AUG</v>
      </c>
      <c r="K25" s="15"/>
    </row>
    <row r="26" spans="1:11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7" t="str">
        <f t="shared" si="0"/>
        <v>High Price</v>
      </c>
      <c r="H26" s="16" t="str">
        <f t="shared" si="1"/>
        <v>29</v>
      </c>
      <c r="I26" t="str">
        <f t="shared" si="2"/>
        <v>CA</v>
      </c>
      <c r="J26" t="str">
        <f t="shared" si="3"/>
        <v>SEP</v>
      </c>
      <c r="K26" s="15"/>
    </row>
    <row r="27" spans="1:11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  <c r="H27" s="16" t="str">
        <f t="shared" si="1"/>
        <v>03</v>
      </c>
      <c r="I27" t="str">
        <f t="shared" si="2"/>
        <v>CA</v>
      </c>
      <c r="J27" t="str">
        <f t="shared" si="3"/>
        <v>JUN</v>
      </c>
      <c r="K27" s="15"/>
    </row>
    <row r="28" spans="1:11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7" t="str">
        <f t="shared" si="0"/>
        <v>Standard Price</v>
      </c>
      <c r="H28" s="16" t="str">
        <f t="shared" si="1"/>
        <v>11</v>
      </c>
      <c r="I28" t="str">
        <f t="shared" si="2"/>
        <v>CA</v>
      </c>
      <c r="J28" t="str">
        <f t="shared" si="3"/>
        <v>JUL</v>
      </c>
      <c r="K28" s="15"/>
    </row>
    <row r="29" spans="1:11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  <c r="H29" s="16" t="str">
        <f t="shared" si="1"/>
        <v>16</v>
      </c>
      <c r="I29" t="str">
        <f t="shared" si="2"/>
        <v>ES</v>
      </c>
      <c r="J29" t="str">
        <f t="shared" si="3"/>
        <v>APR</v>
      </c>
      <c r="K29" s="15"/>
    </row>
    <row r="30" spans="1:11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7" t="str">
        <f t="shared" si="0"/>
        <v>Standard Price</v>
      </c>
      <c r="H30" s="16" t="str">
        <f t="shared" si="1"/>
        <v>07</v>
      </c>
      <c r="I30" t="str">
        <f t="shared" si="2"/>
        <v>CA</v>
      </c>
      <c r="J30" t="str">
        <f t="shared" si="3"/>
        <v>MAR</v>
      </c>
      <c r="K30" s="15"/>
    </row>
    <row r="31" spans="1:11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  <c r="H31" s="16" t="str">
        <f t="shared" si="1"/>
        <v>13</v>
      </c>
      <c r="I31" t="str">
        <f t="shared" si="2"/>
        <v>CA</v>
      </c>
      <c r="J31" t="str">
        <f t="shared" si="3"/>
        <v>APR</v>
      </c>
      <c r="K31" s="15"/>
    </row>
    <row r="32" spans="1:11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7" t="str">
        <f t="shared" si="0"/>
        <v>Standard Price</v>
      </c>
      <c r="H32" s="16" t="str">
        <f t="shared" si="1"/>
        <v>24</v>
      </c>
      <c r="I32" t="str">
        <f t="shared" si="2"/>
        <v>CA</v>
      </c>
      <c r="J32" t="str">
        <f t="shared" si="3"/>
        <v>MAY</v>
      </c>
      <c r="K32" s="15"/>
    </row>
    <row r="33" spans="1:11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  <c r="H33" s="16" t="str">
        <f t="shared" si="1"/>
        <v>02</v>
      </c>
      <c r="I33" t="str">
        <f t="shared" si="2"/>
        <v>CA</v>
      </c>
      <c r="J33" t="str">
        <f t="shared" si="3"/>
        <v>DEC</v>
      </c>
      <c r="K33" s="15"/>
    </row>
    <row r="34" spans="1:11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7" t="str">
        <f t="shared" si="0"/>
        <v>High Price</v>
      </c>
      <c r="H34" s="16" t="str">
        <f t="shared" si="1"/>
        <v>17</v>
      </c>
      <c r="I34" t="str">
        <f t="shared" si="2"/>
        <v>IN</v>
      </c>
      <c r="J34" t="str">
        <f t="shared" si="3"/>
        <v>JUN</v>
      </c>
      <c r="K34" s="15"/>
    </row>
    <row r="35" spans="1:11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 t="str">
        <f t="shared" si="0"/>
        <v>Standard Price</v>
      </c>
      <c r="H35" s="16" t="str">
        <f t="shared" si="1"/>
        <v>09</v>
      </c>
      <c r="I35" t="str">
        <f t="shared" si="2"/>
        <v>FR</v>
      </c>
      <c r="J35" t="str">
        <f t="shared" si="3"/>
        <v>JUL</v>
      </c>
      <c r="K35" s="15"/>
    </row>
    <row r="36" spans="1:11" ht="15.75" customHeight="1" x14ac:dyDescent="0.25">
      <c r="A36" s="10"/>
      <c r="D36" s="12"/>
      <c r="G36" s="12"/>
      <c r="H36" s="16"/>
      <c r="K36" s="15"/>
    </row>
    <row r="37" spans="1:11" ht="15.75" customHeight="1" x14ac:dyDescent="0.25">
      <c r="K37" s="15"/>
    </row>
    <row r="38" spans="1:11" ht="15.75" customHeight="1" x14ac:dyDescent="0.25">
      <c r="K38" s="15"/>
    </row>
    <row r="39" spans="1:11" ht="15.75" customHeight="1" x14ac:dyDescent="0.25">
      <c r="K39" s="15"/>
    </row>
    <row r="40" spans="1:11" ht="15.75" customHeight="1" x14ac:dyDescent="0.25">
      <c r="K40" s="15"/>
    </row>
    <row r="41" spans="1:11" ht="15.75" customHeight="1" x14ac:dyDescent="0.25">
      <c r="K41" s="15"/>
    </row>
    <row r="42" spans="1:11" ht="15.75" customHeight="1" x14ac:dyDescent="0.25">
      <c r="K42" s="15"/>
    </row>
    <row r="43" spans="1:11" ht="15.75" customHeight="1" x14ac:dyDescent="0.25">
      <c r="K43" s="15"/>
    </row>
    <row r="44" spans="1:11" ht="15.75" customHeight="1" x14ac:dyDescent="0.25">
      <c r="K44" s="15"/>
    </row>
    <row r="45" spans="1:11" ht="15.75" customHeight="1" x14ac:dyDescent="0.25">
      <c r="K45" s="15"/>
    </row>
    <row r="46" spans="1:11" ht="15.75" customHeight="1" x14ac:dyDescent="0.25">
      <c r="K46" s="15"/>
    </row>
    <row r="47" spans="1:11" ht="15.75" customHeight="1" x14ac:dyDescent="0.25">
      <c r="K47" s="15"/>
    </row>
    <row r="48" spans="1:11" ht="15.75" customHeight="1" x14ac:dyDescent="0.25">
      <c r="K48" s="15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2026-07-29T19:36:22Z</dcterms:modified>
</cp:coreProperties>
</file>